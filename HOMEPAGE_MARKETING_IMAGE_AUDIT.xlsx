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f22927a9d8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 Summary" sheetId="1" r:id="R307cda5377484c46"/>
    <x:sheet xmlns:r="http://schemas.openxmlformats.org/officeDocument/2006/relationships" name="Production Audit" sheetId="2" r:id="Re9873c512f6e474c"/>
    <x:sheet xmlns:r="http://schemas.openxmlformats.org/officeDocument/2006/relationships" name="Preview Audit" sheetId="3" r:id="R457c75ddb4d040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"/>
    <x:numFmt numFmtId="202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E2420"/>
      </x:patternFill>
    </x:fill>
    <x:fill>
      <x:patternFill patternType="solid">
        <x:fgColor rgb="FFB08D57"/>
      </x:patternFill>
    </x:fill>
  </x:fills>
  <x:borders count="13">
    <x:border/>
    <x:border>
      <x:left style="thin">
        <x:color rgb="FF1E2420"/>
      </x:left>
      <x:top style="thin">
        <x:color rgb="FF1E2420"/>
      </x:top>
      <x:bottom style="thin">
        <x:color rgb="FF1E2420"/>
      </x:bottom>
    </x:border>
    <x:border>
      <x:top style="thin">
        <x:color rgb="FF1E2420"/>
      </x:top>
      <x:bottom style="thin">
        <x:color rgb="FF1E2420"/>
      </x:bottom>
    </x:border>
    <x:border>
      <x:right style="thin">
        <x:color rgb="FF1E2420"/>
      </x:right>
      <x:top style="thin">
        <x:color rgb="FF1E2420"/>
      </x:top>
      <x:bottom style="thin">
        <x:color rgb="FF1E2420"/>
      </x:bottom>
    </x:border>
    <x:border>
      <x:bottom style="thin">
        <x:color rgb="FFE6E0D8"/>
      </x:bottom>
    </x:border>
    <x:border>
      <x:top style="thin">
        <x:color rgb="FFE6E0D8"/>
      </x:top>
      <x:bottom style="thin">
        <x:color rgb="FFE6E0D8"/>
      </x:bottom>
    </x:border>
    <x:border>
      <x:top style="thin">
        <x:color rgb="FFE6E0D8"/>
      </x:top>
    </x:border>
    <x:border>
      <x:left style="thin">
        <x:color rgb="FFD8D0C4"/>
      </x:left>
      <x:top style="thin">
        <x:color rgb="FFD8D0C4"/>
      </x:top>
    </x:border>
    <x:border>
      <x:right style="thin">
        <x:color rgb="FFD8D0C4"/>
      </x:right>
      <x:top style="thin">
        <x:color rgb="FFD8D0C4"/>
      </x:top>
    </x:border>
    <x:border>
      <x:left style="thin">
        <x:color rgb="FFD8D0C4"/>
      </x:left>
    </x:border>
    <x:border>
      <x:right style="thin">
        <x:color rgb="FFD8D0C4"/>
      </x:right>
    </x:border>
    <x:border>
      <x:left style="thin">
        <x:color rgb="FFD8D0C4"/>
      </x:left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</x:borders>
  <x:cellStyleXfs count="1">
    <x:xf numFmtId="0" fontId="0" fillId="0" borderId="0"/>
  </x:cellStyleXfs>
  <x:cellXfs count="3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2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</x:cellXfs>
  <x:cellStyles count="1">
    <x:cellStyle name="Normal" xfId="0"/>
  </x:cellStyles>
  <x:dxfs count="6">
    <x:dxf>
      <x:font>
        <x:b/>
        <x:color rgb="FF27633B"/>
      </x:font>
      <x:fill>
        <x:patternFill patternType="solid">
          <x:bgColor rgb="FFE7F3EA"/>
        </x:patternFill>
      </x:fill>
    </x:dxf>
    <x:dxf>
      <x:font>
        <x:b/>
        <x:color rgb="FF815B00"/>
      </x:font>
      <x:fill>
        <x:patternFill patternType="solid">
          <x:bgColor rgb="FFFFF1CC"/>
        </x:patternFill>
      </x:fill>
    </x:dxf>
    <x:dxf>
      <x:font>
        <x:b/>
        <x:color rgb="FF9C2C24"/>
      </x:font>
      <x:fill>
        <x:patternFill patternType="solid">
          <x:bgColor rgb="FFFCE7E5"/>
        </x:patternFill>
      </x:fill>
    </x:dxf>
    <x:dxf>
      <x:font>
        <x:b/>
        <x:color rgb="FF27633B"/>
      </x:font>
      <x:fill>
        <x:patternFill patternType="solid">
          <x:bgColor rgb="FFE7F3EA"/>
        </x:patternFill>
      </x:fill>
    </x:dxf>
    <x:dxf>
      <x:font>
        <x:b/>
        <x:color rgb="FF815B00"/>
      </x:font>
      <x:fill>
        <x:patternFill patternType="solid">
          <x:bgColor rgb="FFFFF1CC"/>
        </x:patternFill>
      </x:fill>
    </x:dxf>
    <x:dxf>
      <x:font>
        <x:b/>
        <x:color rgb="FF9C2C24"/>
      </x:font>
      <x:fill>
        <x:patternFill patternType="solid">
          <x:bgColor rgb="FFFCE7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8683d98ed34f10" /><Relationship Type="http://schemas.openxmlformats.org/officeDocument/2006/relationships/theme" Target="/xl/theme/theme1.xml" Id="R93ee7a6164804668" /><Relationship Type="http://schemas.openxmlformats.org/officeDocument/2006/relationships/sharedStrings" Target="/xl/sharedStrings.xml" Id="R6c62c986f97d40bd" /><Relationship Type="http://schemas.openxmlformats.org/officeDocument/2006/relationships/worksheet" Target="/xl/worksheets/sheet1.xml" Id="R307cda5377484c46" /><Relationship Type="http://schemas.openxmlformats.org/officeDocument/2006/relationships/worksheet" Target="/xl/worksheets/sheet2.xml" Id="Re9873c512f6e474c" /><Relationship Type="http://schemas.openxmlformats.org/officeDocument/2006/relationships/worksheet" Target="/xl/worksheets/sheet3.xml" Id="R457c75ddb4d040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21.25" hidden="0" customWidth="1"/>
    <x:col min="3" max="3" width="22.5" hidden="0" customWidth="1"/>
    <x:col min="4" max="4" width="28.75" hidden="0" customWidth="1"/>
    <x:col min="5" max="5" width="23.75" hidden="0" customWidth="1"/>
    <x:col min="6" max="6" width="22.5" hidden="0" customWidth="1"/>
  </x:cols>
  <x:sheetData>
    <x:row r="1">
      <x:c r="A1" s="26" t="str">
        <x:v>BAFurniture — Marketing Image Quality Audit</x:v>
      </x:c>
      <x:c r="B1" s="26"/>
      <x:c r="C1" s="26"/>
      <x:c r="D1" s="26"/>
      <x:c r="E1" s="26"/>
      <x:c r="F1" s="26"/>
    </x:row>
    <x:row r="3">
      <x:c r="A3" s="29" t="str">
        <x:v>Metric</x:v>
      </x:c>
      <x:c r="B3" s="30" t="str">
        <x:v>Result</x:v>
      </x:c>
      <x:c r="D3" s="29" t="str">
        <x:v>QA</x:v>
      </x:c>
      <x:c r="E3" s="30" t="str">
        <x:v>Result</x:v>
      </x:c>
    </x:row>
    <x:row r="4">
      <x:c r="A4" s="31" t="str">
        <x:v>Marketing images audited</x:v>
      </x:c>
      <x:c r="B4" s="32" t="n">
        <x:v>12</x:v>
      </x:c>
      <x:c r="D4" s="31" t="str">
        <x:v>Desktop overflow 1440</x:v>
      </x:c>
      <x:c r="E4" s="32" t="str">
        <x:v>PASS</x:v>
      </x:c>
    </x:row>
    <x:row r="5">
      <x:c r="A5" s="31" t="str">
        <x:v>Preview PASS</x:v>
      </x:c>
      <x:c r="B5" s="32" t="n">
        <x:v>12</x:v>
      </x:c>
      <x:c r="D5" s="31" t="str">
        <x:v>Mobile overflow 390</x:v>
      </x:c>
      <x:c r="E5" s="32" t="str">
        <x:v>PASS</x:v>
      </x:c>
    </x:row>
    <x:row r="6">
      <x:c r="A6" s="31" t="str">
        <x:v>Preview blurry</x:v>
      </x:c>
      <x:c r="B6" s="32" t="n">
        <x:v>0</x:v>
      </x:c>
      <x:c r="D6" s="31" t="str">
        <x:v>CLS desktop/mobile</x:v>
      </x:c>
      <x:c r="E6" s="32" t="str">
        <x:v>0 / 0</x:v>
      </x:c>
    </x:row>
    <x:row r="7">
      <x:c r="A7" s="31" t="str">
        <x:v>Preview soft</x:v>
      </x:c>
      <x:c r="B7" s="32" t="n">
        <x:v>0</x:v>
      </x:c>
      <x:c r="D7" s="31" t="str">
        <x:v>Console errors</x:v>
      </x:c>
      <x:c r="E7" s="32" t="n">
        <x:v>0</x:v>
      </x:c>
    </x:row>
    <x:row r="8">
      <x:c r="A8" s="31" t="str">
        <x:v>Desktop page height</x:v>
      </x:c>
      <x:c r="B8" s="32" t="str">
        <x:v>5690 → 5690</x:v>
      </x:c>
      <x:c r="D8" s="31" t="str">
        <x:v>Hero LCP desktop</x:v>
      </x:c>
      <x:c r="E8" s="32" t="str">
        <x:v>1276ms → 692ms</x:v>
      </x:c>
    </x:row>
    <x:row r="9">
      <x:c r="A9" s="31" t="str">
        <x:v>Mobile page height</x:v>
      </x:c>
      <x:c r="B9" s="32" t="str">
        <x:v>9116 → 9116</x:v>
      </x:c>
      <x:c r="D9" s="31" t="str">
        <x:v>Hero LCP mobile</x:v>
      </x:c>
      <x:c r="E9" s="32" t="str">
        <x:v>608ms → 364ms</x:v>
      </x:c>
    </x:row>
    <x:row r="10">
      <x:c r="A10" s="33" t="str">
        <x:v>Browser formats</x:v>
      </x:c>
      <x:c r="B10" s="34" t="str">
        <x:v>AVIF primary / WebP fallback</x:v>
      </x:c>
      <x:c r="D10" s="33" t="str">
        <x:v>Layout changed</x:v>
      </x:c>
      <x:c r="E10" s="34" t="str">
        <x:v>NO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.75" hidden="0" customWidth="1"/>
    <x:col min="3" max="3" width="45" hidden="0" customWidth="1"/>
    <x:col min="4" max="4" width="6.880000114440918" hidden="0" customWidth="1"/>
    <x:col min="5" max="5" width="13.75" hidden="0" customWidth="1"/>
    <x:col min="6" max="6" width="7.130000114440918" hidden="0" customWidth="1"/>
    <x:col min="7" max="7" width="7.380000114440918" hidden="0" customWidth="1"/>
    <x:col min="8" max="8" width="6.630000114440918" hidden="0" customWidth="1"/>
    <x:col min="9" max="9" width="14.380000114440918" hidden="0" customWidth="1"/>
    <x:col min="10" max="10" width="10.880000114440918" hidden="0" customWidth="1"/>
    <x:col min="11" max="11" width="7.630000114440918" hidden="0" customWidth="1"/>
    <x:col min="12" max="12" width="7.380000114440918" hidden="0" customWidth="1"/>
    <x:col min="13" max="13" width="13.130000114440918" hidden="0" customWidth="1"/>
    <x:col min="14" max="14" width="11.880000114440918" hidden="0" customWidth="1"/>
    <x:col min="15" max="15" width="40" hidden="0" customWidth="1"/>
  </x:cols>
  <x:sheetData>
    <x:row r="1">
      <x:c r="A1" s="10" t="str">
        <x:v>Section</x:v>
      </x:c>
      <x:c r="B1" s="11" t="str">
        <x:v>Variant</x:v>
      </x:c>
      <x:c r="C1" s="11" t="str">
        <x:v>ImageURL</x:v>
      </x:c>
      <x:c r="D1" s="11" t="str">
        <x:v>FileType</x:v>
      </x:c>
      <x:c r="E1" s="11" t="str">
        <x:v>DisplayedSize</x:v>
      </x:c>
      <x:c r="F1" s="11" t="str">
        <x:v>WidthPx</x:v>
      </x:c>
      <x:c r="G1" s="11" t="str">
        <x:v>HeightPx</x:v>
      </x:c>
      <x:c r="H1" s="11" t="str">
        <x:v>Bytes</x:v>
      </x:c>
      <x:c r="I1" s="11" t="str">
        <x:v>CompressionRatio</x:v>
      </x:c>
      <x:c r="J1" s="11" t="str">
        <x:v>BytesPerPixel</x:v>
      </x:c>
      <x:c r="K1" s="11" t="str">
        <x:v>Laplacian</x:v>
      </x:c>
      <x:c r="L1" s="11" t="str">
        <x:v>BlurRisk</x:v>
      </x:c>
      <x:c r="M1" s="11" t="str">
        <x:v>LCPImpact</x:v>
      </x:c>
      <x:c r="N1" s="11" t="str">
        <x:v>CurrentQuality</x:v>
      </x:c>
      <x:c r="O1" s="12" t="str">
        <x:v>Source</x:v>
      </x:c>
    </x:row>
    <x:row r="2">
      <x:c r="A2" s="13" t="str">
        <x:v>Hero</x:v>
      </x:c>
      <x:c r="B2" s="13" t="str">
        <x:v>Desktop</x:v>
      </x:c>
      <x:c r="C2" s="13" t="str">
        <x:v>https://bafurni.com/images/hero/homepage-1600.webp</x:v>
      </x:c>
      <x:c r="D2" s="13" t="str">
        <x:v>WEBP</x:v>
      </x:c>
      <x:c r="E2" s="13" t="str">
        <x:v>769x540</x:v>
      </x:c>
      <x:c r="F2" s="14" t="n">
        <x:v>1600</x:v>
      </x:c>
      <x:c r="G2" s="14" t="n">
        <x:v>1000</x:v>
      </x:c>
      <x:c r="H2" s="14" t="n">
        <x:v>87812</x:v>
      </x:c>
      <x:c r="I2" s="15" t="n">
        <x:f>IF(H2=0,"",ROUND(F2*G2*3/H2,2))</x:f>
        <x:v>54.66</x:v>
      </x:c>
      <x:c r="J2" s="15" t="n">
        <x:f>IF(F2*G2=0,"",H2/(F2*G2))</x:f>
        <x:v>0.0548825</x:v>
      </x:c>
      <x:c r="K2" s="16" t="n">
        <x:v>438.32</x:v>
      </x:c>
      <x:c r="L2" s="13" t="str">
        <x:v>MEDIUM</x:v>
      </x:c>
      <x:c r="M2" s="13" t="str">
        <x:v>HIGH (LCP)</x:v>
      </x:c>
      <x:c r="N2" s="13" t="str">
        <x:v>SOFT</x:v>
      </x:c>
      <x:c r="O2" s="13" t="str">
        <x:v>Production HTTP + browser</x:v>
      </x:c>
    </x:row>
    <x:row r="3">
      <x:c r="A3" s="17" t="str">
        <x:v>Hero</x:v>
      </x:c>
      <x:c r="B3" s="17" t="str">
        <x:v>Mobile</x:v>
      </x:c>
      <x:c r="C3" s="17" t="str">
        <x:v>https://bafurni.com/images/hero/homepage-720.webp</x:v>
      </x:c>
      <x:c r="D3" s="17" t="str">
        <x:v>WEBP</x:v>
      </x:c>
      <x:c r="E3" s="17" t="str">
        <x:v>375x210</x:v>
      </x:c>
      <x:c r="F3" s="18" t="n">
        <x:v>720</x:v>
      </x:c>
      <x:c r="G3" s="18" t="n">
        <x:v>540</x:v>
      </x:c>
      <x:c r="H3" s="18" t="n">
        <x:v>27670</x:v>
      </x:c>
      <x:c r="I3" s="19" t="n">
        <x:f>IF(H3=0,"",ROUND(F3*G3*3/H3,2))</x:f>
        <x:v>42.15</x:v>
      </x:c>
      <x:c r="J3" s="19" t="n">
        <x:f>IF(F3*G3=0,"",H3/(F3*G3))</x:f>
        <x:v>0.07116769547325102</x:v>
      </x:c>
      <x:c r="K3" s="20" t="n">
        <x:v>885.47</x:v>
      </x:c>
      <x:c r="L3" s="17" t="str">
        <x:v>MEDIUM</x:v>
      </x:c>
      <x:c r="M3" s="17" t="str">
        <x:v>HIGH (LCP)</x:v>
      </x:c>
      <x:c r="N3" s="17" t="str">
        <x:v>SOFT</x:v>
      </x:c>
      <x:c r="O3" s="17" t="str">
        <x:v>Production HTTP + browser</x:v>
      </x:c>
    </x:row>
    <x:row r="4">
      <x:c r="A4" s="17" t="str">
        <x:v>Solution</x:v>
      </x:c>
      <x:c r="B4" s="17" t="str">
        <x:v>Doanh nghiệp</x:v>
      </x:c>
      <x:c r="C4" s="17" t="str">
        <x:v>https://bafurni.com/images/solutions/doanh-nghiep-720.webp</x:v>
      </x:c>
      <x:c r="D4" s="17" t="str">
        <x:v>WEBP</x:v>
      </x:c>
      <x:c r="E4" s="17" t="str">
        <x:v>423x238</x:v>
      </x:c>
      <x:c r="F4" s="18" t="n">
        <x:v>720</x:v>
      </x:c>
      <x:c r="G4" s="18" t="n">
        <x:v>450</x:v>
      </x:c>
      <x:c r="H4" s="18" t="n">
        <x:v>48524</x:v>
      </x:c>
      <x:c r="I4" s="19" t="n">
        <x:f>IF(H4=0,"",ROUND(F4*G4*3/H4,2))</x:f>
        <x:v>20.03</x:v>
      </x:c>
      <x:c r="J4" s="19" t="n">
        <x:f>IF(F4*G4=0,"",H4/(F4*G4))</x:f>
        <x:v>0.14976543209876544</x:v>
      </x:c>
      <x:c r="K4" s="20" t="n">
        <x:v>2025.71</x:v>
      </x:c>
      <x:c r="L4" s="17" t="str">
        <x:v>MEDIUM</x:v>
      </x:c>
      <x:c r="M4" s="17" t="str">
        <x:v>LOW (lazy)</x:v>
      </x:c>
      <x:c r="N4" s="17" t="str">
        <x:v>SOFT</x:v>
      </x:c>
      <x:c r="O4" s="17" t="str">
        <x:v>Production HTTP + browser</x:v>
      </x:c>
    </x:row>
    <x:row r="5">
      <x:c r="A5" s="17" t="str">
        <x:v>Solution</x:v>
      </x:c>
      <x:c r="B5" s="17" t="str">
        <x:v>Trường học</x:v>
      </x:c>
      <x:c r="C5" s="17" t="str">
        <x:v>https://bafurni.com/images/solutions/truong-hoc-720.webp</x:v>
      </x:c>
      <x:c r="D5" s="17" t="str">
        <x:v>WEBP</x:v>
      </x:c>
      <x:c r="E5" s="17" t="str">
        <x:v>423x238</x:v>
      </x:c>
      <x:c r="F5" s="18" t="n">
        <x:v>720</x:v>
      </x:c>
      <x:c r="G5" s="18" t="n">
        <x:v>450</x:v>
      </x:c>
      <x:c r="H5" s="18" t="n">
        <x:v>42654</x:v>
      </x:c>
      <x:c r="I5" s="19" t="n">
        <x:f>IF(H5=0,"",ROUND(F5*G5*3/H5,2))</x:f>
        <x:v>22.79</x:v>
      </x:c>
      <x:c r="J5" s="19" t="n">
        <x:f>IF(F5*G5=0,"",H5/(F5*G5))</x:f>
        <x:v>0.13164814814814815</x:v>
      </x:c>
      <x:c r="K5" s="20" t="n">
        <x:v>1535.98</x:v>
      </x:c>
      <x:c r="L5" s="17" t="str">
        <x:v>MEDIUM</x:v>
      </x:c>
      <x:c r="M5" s="17" t="str">
        <x:v>LOW (lazy)</x:v>
      </x:c>
      <x:c r="N5" s="17" t="str">
        <x:v>SOFT</x:v>
      </x:c>
      <x:c r="O5" s="17" t="str">
        <x:v>Production HTTP + browser</x:v>
      </x:c>
    </x:row>
    <x:row r="6">
      <x:c r="A6" s="17" t="str">
        <x:v>Solution</x:v>
      </x:c>
      <x:c r="B6" s="17" t="str">
        <x:v>Nhà máy</x:v>
      </x:c>
      <x:c r="C6" s="17" t="str">
        <x:v>https://bafurni.com/images/solutions/nha-may-720.webp</x:v>
      </x:c>
      <x:c r="D6" s="17" t="str">
        <x:v>WEBP</x:v>
      </x:c>
      <x:c r="E6" s="17" t="str">
        <x:v>423x238</x:v>
      </x:c>
      <x:c r="F6" s="18" t="n">
        <x:v>720</x:v>
      </x:c>
      <x:c r="G6" s="18" t="n">
        <x:v>450</x:v>
      </x:c>
      <x:c r="H6" s="18" t="n">
        <x:v>33888</x:v>
      </x:c>
      <x:c r="I6" s="19" t="n">
        <x:f>IF(H6=0,"",ROUND(F6*G6*3/H6,2))</x:f>
        <x:v>28.68</x:v>
      </x:c>
      <x:c r="J6" s="19" t="n">
        <x:f>IF(F6*G6=0,"",H6/(F6*G6))</x:f>
        <x:v>0.1045925925925926</x:v>
      </x:c>
      <x:c r="K6" s="20" t="n">
        <x:v>1254.77</x:v>
      </x:c>
      <x:c r="L6" s="17" t="str">
        <x:v>MEDIUM</x:v>
      </x:c>
      <x:c r="M6" s="17" t="str">
        <x:v>LOW (lazy)</x:v>
      </x:c>
      <x:c r="N6" s="17" t="str">
        <x:v>SOFT</x:v>
      </x:c>
      <x:c r="O6" s="17" t="str">
        <x:v>Production HTTP + browser</x:v>
      </x:c>
    </x:row>
    <x:row r="7">
      <x:c r="A7" s="17" t="str">
        <x:v>Brand Promise</x:v>
      </x:c>
      <x:c r="B7" s="17" t="str">
        <x:v>Phòng lãnh đạo</x:v>
      </x:c>
      <x:c r="C7" s="17" t="str">
        <x:v>https://bafurni.com/images/categories/sub/ghe-giam-doc.webp</x:v>
      </x:c>
      <x:c r="D7" s="17" t="str">
        <x:v>WEBP</x:v>
      </x:c>
      <x:c r="E7" s="17" t="str">
        <x:v>314x640</x:v>
      </x:c>
      <x:c r="F7" s="18" t="n">
        <x:v>960</x:v>
      </x:c>
      <x:c r="G7" s="18" t="n">
        <x:v>686</x:v>
      </x:c>
      <x:c r="H7" s="18" t="n">
        <x:v>58412</x:v>
      </x:c>
      <x:c r="I7" s="19" t="n">
        <x:f>IF(H7=0,"",ROUND(F7*G7*3/H7,2))</x:f>
        <x:v>33.82</x:v>
      </x:c>
      <x:c r="J7" s="19" t="n">
        <x:f>IF(F7*G7=0,"",H7/(F7*G7))</x:f>
        <x:v>0.08869655004859087</x:v>
      </x:c>
      <x:c r="K7" s="20" t="n">
        <x:v>943.06</x:v>
      </x:c>
      <x:c r="L7" s="17" t="str">
        <x:v>HIGH</x:v>
      </x:c>
      <x:c r="M7" s="17" t="str">
        <x:v>LOW (lazy)</x:v>
      </x:c>
      <x:c r="N7" s="17" t="str">
        <x:v>UPSCALED</x:v>
      </x:c>
      <x:c r="O7" s="17" t="str">
        <x:v>HTTP file 960x686; browser cache served legacy 260x186</x:v>
      </x:c>
    </x:row>
    <x:row r="8">
      <x:c r="A8" s="17" t="str">
        <x:v>Brand Promise</x:v>
      </x:c>
      <x:c r="B8" s="17" t="str">
        <x:v>Văn phòng đội nhóm</x:v>
      </x:c>
      <x:c r="C8" s="17" t="str">
        <x:v>https://bafurni.com/images/categories/sub/ban-cum-module.webp</x:v>
      </x:c>
      <x:c r="D8" s="17" t="str">
        <x:v>WEBP</x:v>
      </x:c>
      <x:c r="E8" s="17" t="str">
        <x:v>314x640</x:v>
      </x:c>
      <x:c r="F8" s="18" t="n">
        <x:v>960</x:v>
      </x:c>
      <x:c r="G8" s="18" t="n">
        <x:v>686</x:v>
      </x:c>
      <x:c r="H8" s="18" t="n">
        <x:v>65990</x:v>
      </x:c>
      <x:c r="I8" s="19" t="n">
        <x:f>IF(H8=0,"",ROUND(F8*G8*3/H8,2))</x:f>
        <x:v>29.94</x:v>
      </x:c>
      <x:c r="J8" s="19" t="n">
        <x:f>IF(F8*G8=0,"",H8/(F8*G8))</x:f>
        <x:v>0.10020347424684159</x:v>
      </x:c>
      <x:c r="K8" s="20" t="n">
        <x:v>877.44</x:v>
      </x:c>
      <x:c r="L8" s="17" t="str">
        <x:v>MEDIUM</x:v>
      </x:c>
      <x:c r="M8" s="17" t="str">
        <x:v>LOW (lazy)</x:v>
      </x:c>
      <x:c r="N8" s="17" t="str">
        <x:v>SOFT</x:v>
      </x:c>
      <x:c r="O8" s="17" t="str">
        <x:v>Production HTTP + browser</x:v>
      </x:c>
    </x:row>
    <x:row r="9">
      <x:c r="A9" s="17" t="str">
        <x:v>Brand Promise</x:v>
      </x:c>
      <x:c r="B9" s="17" t="str">
        <x:v>Phòng họp</x:v>
      </x:c>
      <x:c r="C9" s="17" t="str">
        <x:v>https://bafurni.com/images/categories/sub/ban-hop-nho.webp</x:v>
      </x:c>
      <x:c r="D9" s="17" t="str">
        <x:v>WEBP</x:v>
      </x:c>
      <x:c r="E9" s="17" t="str">
        <x:v>314x640</x:v>
      </x:c>
      <x:c r="F9" s="18" t="n">
        <x:v>960</x:v>
      </x:c>
      <x:c r="G9" s="18" t="n">
        <x:v>686</x:v>
      </x:c>
      <x:c r="H9" s="18" t="n">
        <x:v>141344</x:v>
      </x:c>
      <x:c r="I9" s="19" t="n">
        <x:f>IF(H9=0,"",ROUND(F9*G9*3/H9,2))</x:f>
        <x:v>13.98</x:v>
      </x:c>
      <x:c r="J9" s="19" t="n">
        <x:f>IF(F9*G9=0,"",H9/(F9*G9))</x:f>
        <x:v>0.21462585034013607</x:v>
      </x:c>
      <x:c r="K9" s="20" t="n">
        <x:v>2914.78</x:v>
      </x:c>
      <x:c r="L9" s="17" t="str">
        <x:v>MEDIUM</x:v>
      </x:c>
      <x:c r="M9" s="17" t="str">
        <x:v>LOW (lazy)</x:v>
      </x:c>
      <x:c r="N9" s="17" t="str">
        <x:v>SOFT</x:v>
      </x:c>
      <x:c r="O9" s="17" t="str">
        <x:v>Production HTTP + browser</x:v>
      </x:c>
    </x:row>
    <x:row r="10">
      <x:c r="A10" s="17" t="str">
        <x:v>Brand Promise</x:v>
      </x:c>
      <x:c r="B10" s="17" t="str">
        <x:v>Nhà máy &amp; kho</x:v>
      </x:c>
      <x:c r="C10" s="17" t="str">
        <x:v>https://bafurni.com/images/categories/sub/tu-locker.webp</x:v>
      </x:c>
      <x:c r="D10" s="17" t="str">
        <x:v>WEBP</x:v>
      </x:c>
      <x:c r="E10" s="17" t="str">
        <x:v>314x640</x:v>
      </x:c>
      <x:c r="F10" s="18" t="n">
        <x:v>960</x:v>
      </x:c>
      <x:c r="G10" s="18" t="n">
        <x:v>686</x:v>
      </x:c>
      <x:c r="H10" s="18" t="n">
        <x:v>58128</x:v>
      </x:c>
      <x:c r="I10" s="19" t="n">
        <x:f>IF(H10=0,"",ROUND(F10*G10*3/H10,2))</x:f>
        <x:v>33.99</x:v>
      </x:c>
      <x:c r="J10" s="19" t="n">
        <x:f>IF(F10*G10=0,"",H10/(F10*G10))</x:f>
        <x:v>0.08826530612244898</x:v>
      </x:c>
      <x:c r="K10" s="20" t="n">
        <x:v>1838.97</x:v>
      </x:c>
      <x:c r="L10" s="17" t="str">
        <x:v>MEDIUM</x:v>
      </x:c>
      <x:c r="M10" s="17" t="str">
        <x:v>LOW (lazy)</x:v>
      </x:c>
      <x:c r="N10" s="17" t="str">
        <x:v>SOFT</x:v>
      </x:c>
      <x:c r="O10" s="17" t="str">
        <x:v>Production HTTP + browser</x:v>
      </x:c>
    </x:row>
    <x:row r="11">
      <x:c r="A11" s="17" t="str">
        <x:v>Project</x:v>
      </x:c>
      <x:c r="B11" s="17" t="str">
        <x:v>Workplace</x:v>
      </x:c>
      <x:c r="C11" s="17" t="str">
        <x:v>https://bafurni.com/images/categories/main/ghe-van-phong-1200.webp</x:v>
      </x:c>
      <x:c r="D11" s="17" t="str">
        <x:v>WEBP</x:v>
      </x:c>
      <x:c r="E11" s="17" t="str">
        <x:v>476x357</x:v>
      </x:c>
      <x:c r="F11" s="18" t="n">
        <x:v>1200</x:v>
      </x:c>
      <x:c r="G11" s="18" t="n">
        <x:v>900</x:v>
      </x:c>
      <x:c r="H11" s="18" t="n">
        <x:v>113708</x:v>
      </x:c>
      <x:c r="I11" s="19" t="n">
        <x:f>IF(H11=0,"",ROUND(F11*G11*3/H11,2))</x:f>
        <x:v>28.49</x:v>
      </x:c>
      <x:c r="J11" s="19" t="n">
        <x:f>IF(F11*G11=0,"",H11/(F11*G11))</x:f>
        <x:v>0.10528518518518519</x:v>
      </x:c>
      <x:c r="K11" s="20" t="n">
        <x:v>1820.57</x:v>
      </x:c>
      <x:c r="L11" s="17" t="str">
        <x:v>LOW</x:v>
      </x:c>
      <x:c r="M11" s="17" t="str">
        <x:v>MEDIUM (eager)</x:v>
      </x:c>
      <x:c r="N11" s="17" t="str">
        <x:v>SOFT</x:v>
      </x:c>
      <x:c r="O11" s="17" t="str">
        <x:v>Production HTTP + browser</x:v>
      </x:c>
    </x:row>
    <x:row r="12">
      <x:c r="A12" s="17" t="str">
        <x:v>Project</x:v>
      </x:c>
      <x:c r="B12" s="17" t="str">
        <x:v>Education</x:v>
      </x:c>
      <x:c r="C12" s="17" t="str">
        <x:v>https://bafurni.com/images/categories/main/noi-that-truong-hoc-1200.webp</x:v>
      </x:c>
      <x:c r="D12" s="17" t="str">
        <x:v>WEBP</x:v>
      </x:c>
      <x:c r="E12" s="17" t="str">
        <x:v>396x357</x:v>
      </x:c>
      <x:c r="F12" s="18" t="n">
        <x:v>1200</x:v>
      </x:c>
      <x:c r="G12" s="18" t="n">
        <x:v>900</x:v>
      </x:c>
      <x:c r="H12" s="18" t="n">
        <x:v>96830</x:v>
      </x:c>
      <x:c r="I12" s="19" t="n">
        <x:f>IF(H12=0,"",ROUND(F12*G12*3/H12,2))</x:f>
        <x:v>33.46</x:v>
      </x:c>
      <x:c r="J12" s="19" t="n">
        <x:f>IF(F12*G12=0,"",H12/(F12*G12))</x:f>
        <x:v>0.08965740740740741</x:v>
      </x:c>
      <x:c r="K12" s="20" t="n">
        <x:v>713.67</x:v>
      </x:c>
      <x:c r="L12" s="17" t="str">
        <x:v>MEDIUM</x:v>
      </x:c>
      <x:c r="M12" s="17" t="str">
        <x:v>MEDIUM (eager)</x:v>
      </x:c>
      <x:c r="N12" s="17" t="str">
        <x:v>SOFT</x:v>
      </x:c>
      <x:c r="O12" s="17" t="str">
        <x:v>Production HTTP + browser</x:v>
      </x:c>
    </x:row>
    <x:row r="13">
      <x:c r="A13" s="17" t="str">
        <x:v>Project</x:v>
      </x:c>
      <x:c r="B13" s="17" t="str">
        <x:v>Lounge</x:v>
      </x:c>
      <x:c r="C13" s="17" t="str">
        <x:v>https://bafurni.com/images/categories/main/sofa-ghe-cho-1200.webp</x:v>
      </x:c>
      <x:c r="D13" s="17" t="str">
        <x:v>WEBP</x:v>
      </x:c>
      <x:c r="E13" s="17" t="str">
        <x:v>396x357</x:v>
      </x:c>
      <x:c r="F13" s="18" t="n">
        <x:v>1200</x:v>
      </x:c>
      <x:c r="G13" s="18" t="n">
        <x:v>900</x:v>
      </x:c>
      <x:c r="H13" s="18" t="n">
        <x:v>99000</x:v>
      </x:c>
      <x:c r="I13" s="19" t="n">
        <x:f>IF(H13=0,"",ROUND(F13*G13*3/H13,2))</x:f>
        <x:v>32.73</x:v>
      </x:c>
      <x:c r="J13" s="19" t="n">
        <x:f>IF(F13*G13=0,"",H13/(F13*G13))</x:f>
        <x:v>0.09166666666666666</x:v>
      </x:c>
      <x:c r="K13" s="20" t="n">
        <x:v>328.57</x:v>
      </x:c>
      <x:c r="L13" s="17" t="str">
        <x:v>MEDIUM</x:v>
      </x:c>
      <x:c r="M13" s="17" t="str">
        <x:v>MEDIUM (eager)</x:v>
      </x:c>
      <x:c r="N13" s="17" t="str">
        <x:v>SOFT</x:v>
      </x:c>
      <x:c r="O13" s="17" t="str">
        <x:v>Production HTTP + browser</x:v>
      </x:c>
    </x:row>
    <x:row r="14">
      <x:c r="A14" s="17" t="str">
        <x:v>Manufacturing</x:v>
      </x:c>
      <x:c r="B14" s="17" t="str">
        <x:v>Section</x:v>
      </x:c>
      <x:c r="C14" s="17" t="str">
        <x:v>NONE</x:v>
      </x:c>
      <x:c r="D14" s="17" t="str">
        <x:v>NONE</x:v>
      </x:c>
      <x:c r="E14" s="17" t="str">
        <x:v>N/A</x:v>
      </x:c>
      <x:c r="F14" s="18" t="n">
        <x:v>0</x:v>
      </x:c>
      <x:c r="G14" s="18" t="n">
        <x:v>0</x:v>
      </x:c>
      <x:c r="H14" s="18" t="n">
        <x:v>0</x:v>
      </x:c>
      <x:c r="I14" s="19" t="str">
        <x:f>IF(H14=0,"",ROUND(F14*G14*3/H14,2))</x:f>
      </x:c>
      <x:c r="J14" s="19" t="str">
        <x:f>IF(F14*G14=0,"",H14/(F14*G14))</x:f>
      </x:c>
      <x:c r="K14" s="20" t="n">
        <x:v>0</x:v>
      </x:c>
      <x:c r="L14" s="17" t="str">
        <x:v>NONE</x:v>
      </x:c>
      <x:c r="M14" s="17" t="str">
        <x:v>NONE</x:v>
      </x:c>
      <x:c r="N14" s="17" t="str">
        <x:v>NO_IMAGE</x:v>
      </x:c>
      <x:c r="O14" s="17" t="str">
        <x:v>No image in current homepage DOM</x:v>
      </x:c>
    </x:row>
    <x:row r="15">
      <x:c r="A15" s="17" t="str">
        <x:v>Coverage</x:v>
      </x:c>
      <x:c r="B15" s="17" t="str">
        <x:v>Section</x:v>
      </x:c>
      <x:c r="C15" s="17" t="str">
        <x:v>NONE</x:v>
      </x:c>
      <x:c r="D15" s="17" t="str">
        <x:v>NONE</x:v>
      </x:c>
      <x:c r="E15" s="17" t="str">
        <x:v>N/A</x:v>
      </x:c>
      <x:c r="F15" s="18" t="n">
        <x:v>0</x:v>
      </x:c>
      <x:c r="G15" s="18" t="n">
        <x:v>0</x:v>
      </x:c>
      <x:c r="H15" s="18" t="n">
        <x:v>0</x:v>
      </x:c>
      <x:c r="I15" s="19" t="str">
        <x:f>IF(H15=0,"",ROUND(F15*G15*3/H15,2))</x:f>
      </x:c>
      <x:c r="J15" s="19" t="str">
        <x:f>IF(F15*G15=0,"",H15/(F15*G15))</x:f>
      </x:c>
      <x:c r="K15" s="20" t="n">
        <x:v>0</x:v>
      </x:c>
      <x:c r="L15" s="17" t="str">
        <x:v>NONE</x:v>
      </x:c>
      <x:c r="M15" s="17" t="str">
        <x:v>NONE</x:v>
      </x:c>
      <x:c r="N15" s="17" t="str">
        <x:v>NO_IMAGE</x:v>
      </x:c>
      <x:c r="O15" s="17" t="str">
        <x:v>No image in current homepage DOM</x:v>
      </x:c>
    </x:row>
    <x:row r="16">
      <x:c r="A16" s="17" t="str">
        <x:v>CTA</x:v>
      </x:c>
      <x:c r="B16" s="17" t="str">
        <x:v>Section</x:v>
      </x:c>
      <x:c r="C16" s="17" t="str">
        <x:v>NONE</x:v>
      </x:c>
      <x:c r="D16" s="17" t="str">
        <x:v>NONE</x:v>
      </x:c>
      <x:c r="E16" s="17" t="str">
        <x:v>N/A</x:v>
      </x:c>
      <x:c r="F16" s="18" t="n">
        <x:v>0</x:v>
      </x:c>
      <x:c r="G16" s="18" t="n">
        <x:v>0</x:v>
      </x:c>
      <x:c r="H16" s="18" t="n">
        <x:v>0</x:v>
      </x:c>
      <x:c r="I16" s="19" t="str">
        <x:f>IF(H16=0,"",ROUND(F16*G16*3/H16,2))</x:f>
      </x:c>
      <x:c r="J16" s="19" t="str">
        <x:f>IF(F16*G16=0,"",H16/(F16*G16))</x:f>
      </x:c>
      <x:c r="K16" s="20" t="n">
        <x:v>0</x:v>
      </x:c>
      <x:c r="L16" s="17" t="str">
        <x:v>NONE</x:v>
      </x:c>
      <x:c r="M16" s="17" t="str">
        <x:v>NONE</x:v>
      </x:c>
      <x:c r="N16" s="17" t="str">
        <x:v>NO_IMAGE</x:v>
      </x:c>
      <x:c r="O16" s="17" t="str">
        <x:v>No image in current homepage DOM</x:v>
      </x:c>
    </x:row>
    <x:row r="17">
      <x:c r="A17" s="21" t="str">
        <x:v>Background images</x:v>
      </x:c>
      <x:c r="B17" s="21" t="str">
        <x:v>CSS</x:v>
      </x:c>
      <x:c r="C17" s="21" t="str">
        <x:v>NONE</x:v>
      </x:c>
      <x:c r="D17" s="21" t="str">
        <x:v>NONE</x:v>
      </x:c>
      <x:c r="E17" s="21" t="str">
        <x:v>N/A</x:v>
      </x:c>
      <x:c r="F17" s="22" t="n">
        <x:v>0</x:v>
      </x:c>
      <x:c r="G17" s="22" t="n">
        <x:v>0</x:v>
      </x:c>
      <x:c r="H17" s="22" t="n">
        <x:v>0</x:v>
      </x:c>
      <x:c r="I17" s="23" t="str">
        <x:f>IF(H17=0,"",ROUND(F17*G17*3/H17,2))</x:f>
      </x:c>
      <x:c r="J17" s="23" t="str">
        <x:f>IF(F17*G17=0,"",H17/(F17*G17))</x:f>
      </x:c>
      <x:c r="K17" s="24" t="n">
        <x:v>0</x:v>
      </x:c>
      <x:c r="L17" s="21" t="str">
        <x:v>NONE</x:v>
      </x:c>
      <x:c r="M17" s="21" t="str">
        <x:v>NONE</x:v>
      </x:c>
      <x:c r="N17" s="21" t="str">
        <x:v>NO_IMAGE</x:v>
      </x:c>
      <x:c r="O17" s="21" t="str">
        <x:v>No CSS background-image URL in homepage main</x:v>
      </x:c>
    </x:row>
  </x:sheetData>
  <x:conditionalFormatting sqref="L2:N17">
    <x:cfRule type="containsText" dxfId="0" priority="1" operator="containsText" text="PASS"/>
    <x:cfRule type="containsText" dxfId="1" priority="2" operator="containsText" text="SOFT"/>
    <x:cfRule type="containsText" dxfId="2" priority="3" operator="containsText" text="UPSCALED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.75" hidden="0" customWidth="1"/>
    <x:col min="3" max="3" width="45" hidden="0" customWidth="1"/>
    <x:col min="4" max="4" width="6.880000114440918" hidden="0" customWidth="1"/>
    <x:col min="5" max="5" width="13.75" hidden="0" customWidth="1"/>
    <x:col min="6" max="6" width="7.130000114440918" hidden="0" customWidth="1"/>
    <x:col min="7" max="7" width="7.380000114440918" hidden="0" customWidth="1"/>
    <x:col min="8" max="8" width="6.630000114440918" hidden="0" customWidth="1"/>
    <x:col min="9" max="9" width="14.380000114440918" hidden="0" customWidth="1"/>
    <x:col min="10" max="10" width="10.880000114440918" hidden="0" customWidth="1"/>
    <x:col min="11" max="11" width="7.630000114440918" hidden="0" customWidth="1"/>
    <x:col min="12" max="12" width="6.75" hidden="0" customWidth="1"/>
    <x:col min="13" max="13" width="8.630000114440918" hidden="0" customWidth="1"/>
    <x:col min="14" max="14" width="11.880000114440918" hidden="0" customWidth="1"/>
    <x:col min="15" max="15" width="40" hidden="0" customWidth="1"/>
  </x:cols>
  <x:sheetData>
    <x:row r="1">
      <x:c r="A1" s="10" t="str">
        <x:v>Section</x:v>
      </x:c>
      <x:c r="B1" s="11" t="str">
        <x:v>Variant</x:v>
      </x:c>
      <x:c r="C1" s="11" t="str">
        <x:v>ImageURL</x:v>
      </x:c>
      <x:c r="D1" s="11" t="str">
        <x:v>FileType</x:v>
      </x:c>
      <x:c r="E1" s="11" t="str">
        <x:v>DisplayedSize</x:v>
      </x:c>
      <x:c r="F1" s="11" t="str">
        <x:v>WidthPx</x:v>
      </x:c>
      <x:c r="G1" s="11" t="str">
        <x:v>HeightPx</x:v>
      </x:c>
      <x:c r="H1" s="11" t="str">
        <x:v>Bytes</x:v>
      </x:c>
      <x:c r="I1" s="11" t="str">
        <x:v>CompressionRatio</x:v>
      </x:c>
      <x:c r="J1" s="11" t="str">
        <x:v>BytesPerPixel</x:v>
      </x:c>
      <x:c r="K1" s="11" t="str">
        <x:v>Laplacian</x:v>
      </x:c>
      <x:c r="L1" s="11" t="str">
        <x:v>BlurRisk</x:v>
      </x:c>
      <x:c r="M1" s="11" t="str">
        <x:v>LCPImpact</x:v>
      </x:c>
      <x:c r="N1" s="11" t="str">
        <x:v>CurrentQuality</x:v>
      </x:c>
      <x:c r="O1" s="12" t="str">
        <x:v>Source</x:v>
      </x:c>
    </x:row>
    <x:row r="2">
      <x:c r="A2" s="13" t="str">
        <x:v>Hero</x:v>
      </x:c>
      <x:c r="B2" s="13" t="str">
        <x:v>Desktop</x:v>
      </x:c>
      <x:c r="C2" s="13" t="str">
        <x:v>assets/marketing/remastered/hero-desktop.avif</x:v>
      </x:c>
      <x:c r="D2" s="13" t="str">
        <x:v>AVIF</x:v>
      </x:c>
      <x:c r="E2" s="13" t="str">
        <x:v>778x540</x:v>
      </x:c>
      <x:c r="F2" s="14" t="n">
        <x:v>1920</x:v>
      </x:c>
      <x:c r="G2" s="14" t="n">
        <x:v>1200</x:v>
      </x:c>
      <x:c r="H2" s="14" t="n">
        <x:v>166580</x:v>
      </x:c>
      <x:c r="I2" s="15" t="n">
        <x:f>IF(H2=0,"",ROUND(F2*G2*3/H2,2))</x:f>
        <x:v>41.49</x:v>
      </x:c>
      <x:c r="J2" s="15" t="n">
        <x:f>IF(F2*G2=0,"",H2/(F2*G2))</x:f>
        <x:v>0.07230034722222223</x:v>
      </x:c>
      <x:c r="K2" s="16" t="n">
        <x:v>243.37</x:v>
      </x:c>
      <x:c r="L2" s="13" t="str">
        <x:v>LOW</x:v>
      </x:c>
      <x:c r="M2" s="13" t="str">
        <x:v>HIGH (LCP)</x:v>
      </x:c>
      <x:c r="N2" s="13" t="str">
        <x:v>PASS</x:v>
      </x:c>
      <x:c r="O2" s="13" t="str">
        <x:v>images/hero/homepage-1600.webp; Real-ESRGAN 18% blend; q=90</x:v>
      </x:c>
    </x:row>
    <x:row r="3">
      <x:c r="A3" s="17" t="str">
        <x:v>Hero</x:v>
      </x:c>
      <x:c r="B3" s="17" t="str">
        <x:v>Mobile</x:v>
      </x:c>
      <x:c r="C3" s="17" t="str">
        <x:v>assets/marketing/remastered/hero-mobile.avif</x:v>
      </x:c>
      <x:c r="D3" s="17" t="str">
        <x:v>AVIF</x:v>
      </x:c>
      <x:c r="E3" s="17" t="str">
        <x:v>375x210</x:v>
      </x:c>
      <x:c r="F3" s="18" t="n">
        <x:v>1200</x:v>
      </x:c>
      <x:c r="G3" s="18" t="n">
        <x:v>900</x:v>
      </x:c>
      <x:c r="H3" s="18" t="n">
        <x:v>70097</x:v>
      </x:c>
      <x:c r="I3" s="19" t="n">
        <x:f>IF(H3=0,"",ROUND(F3*G3*3/H3,2))</x:f>
        <x:v>46.22</x:v>
      </x:c>
      <x:c r="J3" s="19" t="n">
        <x:f>IF(F3*G3=0,"",H3/(F3*G3))</x:f>
        <x:v>0.06490462962962963</x:v>
      </x:c>
      <x:c r="K3" s="20" t="n">
        <x:v>173.58</x:v>
      </x:c>
      <x:c r="L3" s="17" t="str">
        <x:v>LOW</x:v>
      </x:c>
      <x:c r="M3" s="17" t="str">
        <x:v>HIGH (LCP)</x:v>
      </x:c>
      <x:c r="N3" s="17" t="str">
        <x:v>PASS</x:v>
      </x:c>
      <x:c r="O3" s="17" t="str">
        <x:v>images/hero/homepage-720.webp; Real-ESRGAN 18% blend; q=90</x:v>
      </x:c>
    </x:row>
    <x:row r="4">
      <x:c r="A4" s="17" t="str">
        <x:v>Solution</x:v>
      </x:c>
      <x:c r="B4" s="17" t="str">
        <x:v>Doanh nghiệp</x:v>
      </x:c>
      <x:c r="C4" s="17" t="str">
        <x:v>assets/marketing/remastered/solution-doanh-nghiep.avif</x:v>
      </x:c>
      <x:c r="D4" s="17" t="str">
        <x:v>AVIF</x:v>
      </x:c>
      <x:c r="E4" s="17" t="str">
        <x:v>428x241</x:v>
      </x:c>
      <x:c r="F4" s="18" t="n">
        <x:v>1920</x:v>
      </x:c>
      <x:c r="G4" s="18" t="n">
        <x:v>1200</x:v>
      </x:c>
      <x:c r="H4" s="18" t="n">
        <x:v>195717</x:v>
      </x:c>
      <x:c r="I4" s="19" t="n">
        <x:f>IF(H4=0,"",ROUND(F4*G4*3/H4,2))</x:f>
        <x:v>35.32</x:v>
      </x:c>
      <x:c r="J4" s="19" t="n">
        <x:f>IF(F4*G4=0,"",H4/(F4*G4))</x:f>
        <x:v>0.08494661458333333</x:v>
      </x:c>
      <x:c r="K4" s="20" t="n">
        <x:v>91.11</x:v>
      </x:c>
      <x:c r="L4" s="17" t="str">
        <x:v>LOW</x:v>
      </x:c>
      <x:c r="M4" s="17" t="str">
        <x:v>LOW (lazy)</x:v>
      </x:c>
      <x:c r="N4" s="17" t="str">
        <x:v>PASS</x:v>
      </x:c>
      <x:c r="O4" s="17" t="str">
        <x:v>images/solutions/doanh-nghiep-720.webp; Real-ESRGAN 18% blend; q=88</x:v>
      </x:c>
    </x:row>
    <x:row r="5">
      <x:c r="A5" s="17" t="str">
        <x:v>Solution</x:v>
      </x:c>
      <x:c r="B5" s="17" t="str">
        <x:v>Trường học</x:v>
      </x:c>
      <x:c r="C5" s="17" t="str">
        <x:v>assets/marketing/remastered/solution-truong-hoc.avif</x:v>
      </x:c>
      <x:c r="D5" s="17" t="str">
        <x:v>AVIF</x:v>
      </x:c>
      <x:c r="E5" s="17" t="str">
        <x:v>428x241</x:v>
      </x:c>
      <x:c r="F5" s="18" t="n">
        <x:v>1920</x:v>
      </x:c>
      <x:c r="G5" s="18" t="n">
        <x:v>1200</x:v>
      </x:c>
      <x:c r="H5" s="18" t="n">
        <x:v>177632</x:v>
      </x:c>
      <x:c r="I5" s="19" t="n">
        <x:f>IF(H5=0,"",ROUND(F5*G5*3/H5,2))</x:f>
        <x:v>38.91</x:v>
      </x:c>
      <x:c r="J5" s="19" t="n">
        <x:f>IF(F5*G5=0,"",H5/(F5*G5))</x:f>
        <x:v>0.07709722222222222</x:v>
      </x:c>
      <x:c r="K5" s="20" t="n">
        <x:v>72.59</x:v>
      </x:c>
      <x:c r="L5" s="17" t="str">
        <x:v>LOW</x:v>
      </x:c>
      <x:c r="M5" s="17" t="str">
        <x:v>LOW (lazy)</x:v>
      </x:c>
      <x:c r="N5" s="17" t="str">
        <x:v>PASS</x:v>
      </x:c>
      <x:c r="O5" s="17" t="str">
        <x:v>images/solutions/truong-hoc-720.webp; Real-ESRGAN 18% blend; q=88</x:v>
      </x:c>
    </x:row>
    <x:row r="6">
      <x:c r="A6" s="17" t="str">
        <x:v>Solution</x:v>
      </x:c>
      <x:c r="B6" s="17" t="str">
        <x:v>Nhà máy</x:v>
      </x:c>
      <x:c r="C6" s="17" t="str">
        <x:v>assets/marketing/remastered/solution-nha-may.avif</x:v>
      </x:c>
      <x:c r="D6" s="17" t="str">
        <x:v>AVIF</x:v>
      </x:c>
      <x:c r="E6" s="17" t="str">
        <x:v>428x241</x:v>
      </x:c>
      <x:c r="F6" s="18" t="n">
        <x:v>1920</x:v>
      </x:c>
      <x:c r="G6" s="18" t="n">
        <x:v>1200</x:v>
      </x:c>
      <x:c r="H6" s="18" t="n">
        <x:v>141702</x:v>
      </x:c>
      <x:c r="I6" s="19" t="n">
        <x:f>IF(H6=0,"",ROUND(F6*G6*3/H6,2))</x:f>
        <x:v>48.78</x:v>
      </x:c>
      <x:c r="J6" s="19" t="n">
        <x:f>IF(F6*G6=0,"",H6/(F6*G6))</x:f>
        <x:v>0.06150260416666667</x:v>
      </x:c>
      <x:c r="K6" s="20" t="n">
        <x:v>43.54</x:v>
      </x:c>
      <x:c r="L6" s="17" t="str">
        <x:v>LOW</x:v>
      </x:c>
      <x:c r="M6" s="17" t="str">
        <x:v>LOW (lazy)</x:v>
      </x:c>
      <x:c r="N6" s="17" t="str">
        <x:v>PASS</x:v>
      </x:c>
      <x:c r="O6" s="17" t="str">
        <x:v>images/solutions/nha-may-720.webp; Real-ESRGAN 18% blend; q=88</x:v>
      </x:c>
    </x:row>
    <x:row r="7">
      <x:c r="A7" s="17" t="str">
        <x:v>Brand Promise</x:v>
      </x:c>
      <x:c r="B7" s="17" t="str">
        <x:v>Phòng lãnh đạo</x:v>
      </x:c>
      <x:c r="C7" s="17" t="str">
        <x:v>assets/marketing/remastered/brand-promise-ghe-giam-doc.avif</x:v>
      </x:c>
      <x:c r="D7" s="17" t="str">
        <x:v>AVIF</x:v>
      </x:c>
      <x:c r="E7" s="17" t="str">
        <x:v>314x640</x:v>
      </x:c>
      <x:c r="F7" s="18" t="n">
        <x:v>1920</x:v>
      </x:c>
      <x:c r="G7" s="18" t="n">
        <x:v>1372</x:v>
      </x:c>
      <x:c r="H7" s="18" t="n">
        <x:v>156448</x:v>
      </x:c>
      <x:c r="I7" s="19" t="n">
        <x:f>IF(H7=0,"",ROUND(F7*G7*3/H7,2))</x:f>
        <x:v>50.51</x:v>
      </x:c>
      <x:c r="J7" s="19" t="n">
        <x:f>IF(F7*G7=0,"",H7/(F7*G7))</x:f>
        <x:v>0.059390184645286684</x:v>
      </x:c>
      <x:c r="K7" s="20" t="n">
        <x:v>84.38</x:v>
      </x:c>
      <x:c r="L7" s="17" t="str">
        <x:v>LOW</x:v>
      </x:c>
      <x:c r="M7" s="17" t="str">
        <x:v>LOW (lazy)</x:v>
      </x:c>
      <x:c r="N7" s="17" t="str">
        <x:v>PASS</x:v>
      </x:c>
      <x:c r="O7" s="17" t="str">
        <x:v>images/categories/sub/ghe-giam-doc.webp; Real-ESRGAN 18% blend; q=85</x:v>
      </x:c>
    </x:row>
    <x:row r="8">
      <x:c r="A8" s="17" t="str">
        <x:v>Brand Promise</x:v>
      </x:c>
      <x:c r="B8" s="17" t="str">
        <x:v>Văn phòng đội nhóm</x:v>
      </x:c>
      <x:c r="C8" s="17" t="str">
        <x:v>assets/marketing/remastered/brand-promise-ban-cum-module.avif</x:v>
      </x:c>
      <x:c r="D8" s="17" t="str">
        <x:v>AVIF</x:v>
      </x:c>
      <x:c r="E8" s="17" t="str">
        <x:v>314x640</x:v>
      </x:c>
      <x:c r="F8" s="18" t="n">
        <x:v>1920</x:v>
      </x:c>
      <x:c r="G8" s="18" t="n">
        <x:v>1372</x:v>
      </x:c>
      <x:c r="H8" s="18" t="n">
        <x:v>172837</x:v>
      </x:c>
      <x:c r="I8" s="19" t="n">
        <x:f>IF(H8=0,"",ROUND(F8*G8*3/H8,2))</x:f>
        <x:v>45.72</x:v>
      </x:c>
      <x:c r="J8" s="19" t="n">
        <x:f>IF(F8*G8=0,"",H8/(F8*G8))</x:f>
        <x:v>0.06561171343537416</x:v>
      </x:c>
      <x:c r="K8" s="20" t="n">
        <x:v>81.19</x:v>
      </x:c>
      <x:c r="L8" s="17" t="str">
        <x:v>LOW</x:v>
      </x:c>
      <x:c r="M8" s="17" t="str">
        <x:v>LOW (lazy)</x:v>
      </x:c>
      <x:c r="N8" s="17" t="str">
        <x:v>PASS</x:v>
      </x:c>
      <x:c r="O8" s="17" t="str">
        <x:v>images/categories/sub/ban-cum-module.webp; Real-ESRGAN 18% blend; q=85</x:v>
      </x:c>
    </x:row>
    <x:row r="9">
      <x:c r="A9" s="17" t="str">
        <x:v>Brand Promise</x:v>
      </x:c>
      <x:c r="B9" s="17" t="str">
        <x:v>Phòng họp</x:v>
      </x:c>
      <x:c r="C9" s="17" t="str">
        <x:v>assets/marketing/remastered/brand-promise-ban-hop-nho.avif</x:v>
      </x:c>
      <x:c r="D9" s="17" t="str">
        <x:v>AVIF</x:v>
      </x:c>
      <x:c r="E9" s="17" t="str">
        <x:v>314x640</x:v>
      </x:c>
      <x:c r="F9" s="18" t="n">
        <x:v>1920</x:v>
      </x:c>
      <x:c r="G9" s="18" t="n">
        <x:v>1372</x:v>
      </x:c>
      <x:c r="H9" s="18" t="n">
        <x:v>343266</x:v>
      </x:c>
      <x:c r="I9" s="19" t="n">
        <x:f>IF(H9=0,"",ROUND(F9*G9*3/H9,2))</x:f>
        <x:v>23.02</x:v>
      </x:c>
      <x:c r="J9" s="19" t="n">
        <x:f>IF(F9*G9=0,"",H9/(F9*G9))</x:f>
        <x:v>0.1303093112244898</x:v>
      </x:c>
      <x:c r="K9" s="20" t="n">
        <x:v>262.9</x:v>
      </x:c>
      <x:c r="L9" s="17" t="str">
        <x:v>LOW</x:v>
      </x:c>
      <x:c r="M9" s="17" t="str">
        <x:v>LOW (lazy)</x:v>
      </x:c>
      <x:c r="N9" s="17" t="str">
        <x:v>PASS</x:v>
      </x:c>
      <x:c r="O9" s="17" t="str">
        <x:v>images/categories/sub/ban-hop-nho.webp; Real-ESRGAN 18% blend; q=85</x:v>
      </x:c>
    </x:row>
    <x:row r="10">
      <x:c r="A10" s="17" t="str">
        <x:v>Brand Promise</x:v>
      </x:c>
      <x:c r="B10" s="17" t="str">
        <x:v>Nhà máy &amp; kho</x:v>
      </x:c>
      <x:c r="C10" s="17" t="str">
        <x:v>assets/marketing/remastered/brand-promise-tu-locker.avif</x:v>
      </x:c>
      <x:c r="D10" s="17" t="str">
        <x:v>AVIF</x:v>
      </x:c>
      <x:c r="E10" s="17" t="str">
        <x:v>314x640</x:v>
      </x:c>
      <x:c r="F10" s="18" t="n">
        <x:v>1920</x:v>
      </x:c>
      <x:c r="G10" s="18" t="n">
        <x:v>1372</x:v>
      </x:c>
      <x:c r="H10" s="18" t="n">
        <x:v>156150</x:v>
      </x:c>
      <x:c r="I10" s="19" t="n">
        <x:f>IF(H10=0,"",ROUND(F10*G10*3/H10,2))</x:f>
        <x:v>50.61</x:v>
      </x:c>
      <x:c r="J10" s="19" t="n">
        <x:f>IF(F10*G10=0,"",H10/(F10*G10))</x:f>
        <x:v>0.05927705903790088</x:v>
      </x:c>
      <x:c r="K10" s="20" t="n">
        <x:v>165.29</x:v>
      </x:c>
      <x:c r="L10" s="17" t="str">
        <x:v>LOW</x:v>
      </x:c>
      <x:c r="M10" s="17" t="str">
        <x:v>LOW (lazy)</x:v>
      </x:c>
      <x:c r="N10" s="17" t="str">
        <x:v>PASS</x:v>
      </x:c>
      <x:c r="O10" s="17" t="str">
        <x:v>images/categories/sub/tu-locker.webp; Real-ESRGAN 18% blend; q=85</x:v>
      </x:c>
    </x:row>
    <x:row r="11">
      <x:c r="A11" s="17" t="str">
        <x:v>Project</x:v>
      </x:c>
      <x:c r="B11" s="17" t="str">
        <x:v>Workplace</x:v>
      </x:c>
      <x:c r="C11" s="17" t="str">
        <x:v>assets/marketing/remastered/project-workplace.avif</x:v>
      </x:c>
      <x:c r="D11" s="17" t="str">
        <x:v>AVIF</x:v>
      </x:c>
      <x:c r="E11" s="17" t="str">
        <x:v>482x361</x:v>
      </x:c>
      <x:c r="F11" s="18" t="n">
        <x:v>1920</x:v>
      </x:c>
      <x:c r="G11" s="18" t="n">
        <x:v>1440</x:v>
      </x:c>
      <x:c r="H11" s="18" t="n">
        <x:v>265789</x:v>
      </x:c>
      <x:c r="I11" s="19" t="n">
        <x:f>IF(H11=0,"",ROUND(F11*G11*3/H11,2))</x:f>
        <x:v>31.21</x:v>
      </x:c>
      <x:c r="J11" s="19" t="n">
        <x:f>IF(F11*G11=0,"",H11/(F11*G11))</x:f>
        <x:v>0.09613317418981482</x:v>
      </x:c>
      <x:c r="K11" s="20" t="n">
        <x:v>356.93</x:v>
      </x:c>
      <x:c r="L11" s="17" t="str">
        <x:v>LOW</x:v>
      </x:c>
      <x:c r="M11" s="17" t="str">
        <x:v>LOW (lazy)</x:v>
      </x:c>
      <x:c r="N11" s="17" t="str">
        <x:v>PASS</x:v>
      </x:c>
      <x:c r="O11" s="17" t="str">
        <x:v>images/categories/main/ghe-van-phong-1200.webp; Real-ESRGAN 18% blend; q=88</x:v>
      </x:c>
    </x:row>
    <x:row r="12">
      <x:c r="A12" s="17" t="str">
        <x:v>Project</x:v>
      </x:c>
      <x:c r="B12" s="17" t="str">
        <x:v>Education</x:v>
      </x:c>
      <x:c r="C12" s="17" t="str">
        <x:v>assets/marketing/remastered/project-education.avif</x:v>
      </x:c>
      <x:c r="D12" s="17" t="str">
        <x:v>AVIF</x:v>
      </x:c>
      <x:c r="E12" s="17" t="str">
        <x:v>401x361</x:v>
      </x:c>
      <x:c r="F12" s="18" t="n">
        <x:v>1920</x:v>
      </x:c>
      <x:c r="G12" s="18" t="n">
        <x:v>1440</x:v>
      </x:c>
      <x:c r="H12" s="18" t="n">
        <x:v>233070</x:v>
      </x:c>
      <x:c r="I12" s="19" t="n">
        <x:f>IF(H12=0,"",ROUND(F12*G12*3/H12,2))</x:f>
        <x:v>35.59</x:v>
      </x:c>
      <x:c r="J12" s="19" t="n">
        <x:f>IF(F12*G12=0,"",H12/(F12*G12))</x:f>
        <x:v>0.08429904513888889</x:v>
      </x:c>
      <x:c r="K12" s="20" t="n">
        <x:v>133.47</x:v>
      </x:c>
      <x:c r="L12" s="17" t="str">
        <x:v>LOW</x:v>
      </x:c>
      <x:c r="M12" s="17" t="str">
        <x:v>LOW (lazy)</x:v>
      </x:c>
      <x:c r="N12" s="17" t="str">
        <x:v>PASS</x:v>
      </x:c>
      <x:c r="O12" s="17" t="str">
        <x:v>images/categories/main/noi-that-truong-hoc-1200.webp; Real-ESRGAN 18% blend; q=88</x:v>
      </x:c>
    </x:row>
    <x:row r="13">
      <x:c r="A13" s="17" t="str">
        <x:v>Project</x:v>
      </x:c>
      <x:c r="B13" s="17" t="str">
        <x:v>Lounge</x:v>
      </x:c>
      <x:c r="C13" s="17" t="str">
        <x:v>assets/marketing/remastered/project-lounge.avif</x:v>
      </x:c>
      <x:c r="D13" s="17" t="str">
        <x:v>AVIF</x:v>
      </x:c>
      <x:c r="E13" s="17" t="str">
        <x:v>401x361</x:v>
      </x:c>
      <x:c r="F13" s="18" t="n">
        <x:v>1920</x:v>
      </x:c>
      <x:c r="G13" s="18" t="n">
        <x:v>1440</x:v>
      </x:c>
      <x:c r="H13" s="18" t="n">
        <x:v>250785</x:v>
      </x:c>
      <x:c r="I13" s="19" t="n">
        <x:f>IF(H13=0,"",ROUND(F13*G13*3/H13,2))</x:f>
        <x:v>33.07</x:v>
      </x:c>
      <x:c r="J13" s="19" t="n">
        <x:f>IF(F13*G13=0,"",H13/(F13*G13))</x:f>
        <x:v>0.09070638020833334</x:v>
      </x:c>
      <x:c r="K13" s="20" t="n">
        <x:v>57.77</x:v>
      </x:c>
      <x:c r="L13" s="17" t="str">
        <x:v>LOW</x:v>
      </x:c>
      <x:c r="M13" s="17" t="str">
        <x:v>LOW (lazy)</x:v>
      </x:c>
      <x:c r="N13" s="17" t="str">
        <x:v>PASS</x:v>
      </x:c>
      <x:c r="O13" s="17" t="str">
        <x:v>images/categories/main/sofa-ghe-cho-1200.webp; Real-ESRGAN 18% blend; q=88</x:v>
      </x:c>
    </x:row>
    <x:row r="14">
      <x:c r="A14" s="17" t="str">
        <x:v>Manufacturing</x:v>
      </x:c>
      <x:c r="B14" s="17" t="str">
        <x:v>Section</x:v>
      </x:c>
      <x:c r="C14" s="17" t="str">
        <x:v>NONE</x:v>
      </x:c>
      <x:c r="D14" s="17" t="str">
        <x:v>NONE</x:v>
      </x:c>
      <x:c r="E14" s="17" t="str">
        <x:v>N/A</x:v>
      </x:c>
      <x:c r="F14" s="18" t="n">
        <x:v>0</x:v>
      </x:c>
      <x:c r="G14" s="18" t="n">
        <x:v>0</x:v>
      </x:c>
      <x:c r="H14" s="18" t="n">
        <x:v>0</x:v>
      </x:c>
      <x:c r="I14" s="19" t="str">
        <x:f>IF(H14=0,"",ROUND(F14*G14*3/H14,2))</x:f>
      </x:c>
      <x:c r="J14" s="19" t="str">
        <x:f>IF(F14*G14=0,"",H14/(F14*G14))</x:f>
      </x:c>
      <x:c r="K14" s="20" t="n">
        <x:v>0</x:v>
      </x:c>
      <x:c r="L14" s="17" t="str">
        <x:v>NONE</x:v>
      </x:c>
      <x:c r="M14" s="17" t="str">
        <x:v>NONE</x:v>
      </x:c>
      <x:c r="N14" s="17" t="str">
        <x:v>NO_IMAGE</x:v>
      </x:c>
      <x:c r="O14" s="17" t="str">
        <x:v>No image in current homepage DOM</x:v>
      </x:c>
    </x:row>
    <x:row r="15">
      <x:c r="A15" s="17" t="str">
        <x:v>Coverage</x:v>
      </x:c>
      <x:c r="B15" s="17" t="str">
        <x:v>Section</x:v>
      </x:c>
      <x:c r="C15" s="17" t="str">
        <x:v>NONE</x:v>
      </x:c>
      <x:c r="D15" s="17" t="str">
        <x:v>NONE</x:v>
      </x:c>
      <x:c r="E15" s="17" t="str">
        <x:v>N/A</x:v>
      </x:c>
      <x:c r="F15" s="18" t="n">
        <x:v>0</x:v>
      </x:c>
      <x:c r="G15" s="18" t="n">
        <x:v>0</x:v>
      </x:c>
      <x:c r="H15" s="18" t="n">
        <x:v>0</x:v>
      </x:c>
      <x:c r="I15" s="19" t="str">
        <x:f>IF(H15=0,"",ROUND(F15*G15*3/H15,2))</x:f>
      </x:c>
      <x:c r="J15" s="19" t="str">
        <x:f>IF(F15*G15=0,"",H15/(F15*G15))</x:f>
      </x:c>
      <x:c r="K15" s="20" t="n">
        <x:v>0</x:v>
      </x:c>
      <x:c r="L15" s="17" t="str">
        <x:v>NONE</x:v>
      </x:c>
      <x:c r="M15" s="17" t="str">
        <x:v>NONE</x:v>
      </x:c>
      <x:c r="N15" s="17" t="str">
        <x:v>NO_IMAGE</x:v>
      </x:c>
      <x:c r="O15" s="17" t="str">
        <x:v>No image in current homepage DOM</x:v>
      </x:c>
    </x:row>
    <x:row r="16">
      <x:c r="A16" s="17" t="str">
        <x:v>CTA</x:v>
      </x:c>
      <x:c r="B16" s="17" t="str">
        <x:v>Section</x:v>
      </x:c>
      <x:c r="C16" s="17" t="str">
        <x:v>NONE</x:v>
      </x:c>
      <x:c r="D16" s="17" t="str">
        <x:v>NONE</x:v>
      </x:c>
      <x:c r="E16" s="17" t="str">
        <x:v>N/A</x:v>
      </x:c>
      <x:c r="F16" s="18" t="n">
        <x:v>0</x:v>
      </x:c>
      <x:c r="G16" s="18" t="n">
        <x:v>0</x:v>
      </x:c>
      <x:c r="H16" s="18" t="n">
        <x:v>0</x:v>
      </x:c>
      <x:c r="I16" s="19" t="str">
        <x:f>IF(H16=0,"",ROUND(F16*G16*3/H16,2))</x:f>
      </x:c>
      <x:c r="J16" s="19" t="str">
        <x:f>IF(F16*G16=0,"",H16/(F16*G16))</x:f>
      </x:c>
      <x:c r="K16" s="20" t="n">
        <x:v>0</x:v>
      </x:c>
      <x:c r="L16" s="17" t="str">
        <x:v>NONE</x:v>
      </x:c>
      <x:c r="M16" s="17" t="str">
        <x:v>NONE</x:v>
      </x:c>
      <x:c r="N16" s="17" t="str">
        <x:v>NO_IMAGE</x:v>
      </x:c>
      <x:c r="O16" s="17" t="str">
        <x:v>No image in current homepage DOM</x:v>
      </x:c>
    </x:row>
    <x:row r="17">
      <x:c r="A17" s="21" t="str">
        <x:v>Background images</x:v>
      </x:c>
      <x:c r="B17" s="21" t="str">
        <x:v>CSS</x:v>
      </x:c>
      <x:c r="C17" s="21" t="str">
        <x:v>NONE</x:v>
      </x:c>
      <x:c r="D17" s="21" t="str">
        <x:v>NONE</x:v>
      </x:c>
      <x:c r="E17" s="21" t="str">
        <x:v>N/A</x:v>
      </x:c>
      <x:c r="F17" s="22" t="n">
        <x:v>0</x:v>
      </x:c>
      <x:c r="G17" s="22" t="n">
        <x:v>0</x:v>
      </x:c>
      <x:c r="H17" s="22" t="n">
        <x:v>0</x:v>
      </x:c>
      <x:c r="I17" s="23" t="str">
        <x:f>IF(H17=0,"",ROUND(F17*G17*3/H17,2))</x:f>
      </x:c>
      <x:c r="J17" s="23" t="str">
        <x:f>IF(F17*G17=0,"",H17/(F17*G17))</x:f>
      </x:c>
      <x:c r="K17" s="24" t="n">
        <x:v>0</x:v>
      </x:c>
      <x:c r="L17" s="21" t="str">
        <x:v>NONE</x:v>
      </x:c>
      <x:c r="M17" s="21" t="str">
        <x:v>NONE</x:v>
      </x:c>
      <x:c r="N17" s="21" t="str">
        <x:v>NO_IMAGE</x:v>
      </x:c>
      <x:c r="O17" s="21" t="str">
        <x:v>No CSS background-image URL in homepage main</x:v>
      </x:c>
    </x:row>
  </x:sheetData>
  <x:conditionalFormatting sqref="L2:N17">
    <x:cfRule type="containsText" dxfId="3" priority="1" operator="containsText" text="PASS"/>
    <x:cfRule type="containsText" dxfId="4" priority="2" operator="containsText" text="SOFT"/>
    <x:cfRule type="containsText" dxfId="5" priority="3" operator="containsText" text="UPSCALED"/>
  </x:conditionalFormatting>
  <x:pageMargins left="0.7" right="0.7" top="0.75" bottom="0.75" header="0.3" footer="0.3"/>
</x:worksheet>
</file>